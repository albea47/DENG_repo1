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orobotixsa-my.sharepoint.com/personal/rafael_albea_ecorobotix_com/Documents/Desktop/DENG/"/>
    </mc:Choice>
  </mc:AlternateContent>
  <xr:revisionPtr revIDLastSave="99" documentId="13_ncr:1_{B3803C06-185A-4DCE-B811-B57C701AB7CA}" xr6:coauthVersionLast="47" xr6:coauthVersionMax="47" xr10:uidLastSave="{40722374-AD76-40AA-98ED-7A87496DC176}"/>
  <bookViews>
    <workbookView xWindow="2745" yWindow="1110" windowWidth="24405" windowHeight="14355" activeTab="2" xr2:uid="{00000000-000D-0000-FFFF-FFFF00000000}"/>
  </bookViews>
  <sheets>
    <sheet name="Business context" sheetId="9" r:id="rId1"/>
    <sheet name="R&amp;D Program Dataset" sheetId="7" r:id="rId2"/>
    <sheet name="Constraints &amp; Goals" sheetId="8" r:id="rId3"/>
    <sheet name="Promp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7" l="1"/>
  <c r="N17" i="7"/>
  <c r="M17" i="7"/>
  <c r="L17" i="7"/>
  <c r="I5" i="7"/>
  <c r="I6" i="7"/>
  <c r="I7" i="7"/>
  <c r="I8" i="7"/>
  <c r="I9" i="7"/>
  <c r="I10" i="7"/>
  <c r="I11" i="7"/>
  <c r="I12" i="7"/>
  <c r="I13" i="7"/>
  <c r="I14" i="7"/>
  <c r="I15" i="7"/>
  <c r="I16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N22" i="7"/>
  <c r="M22" i="7"/>
  <c r="N12" i="7"/>
  <c r="M12" i="7"/>
  <c r="L12" i="7"/>
  <c r="N24" i="7"/>
  <c r="K24" i="7"/>
  <c r="J24" i="7"/>
  <c r="N15" i="7"/>
  <c r="M15" i="7"/>
  <c r="J15" i="7"/>
  <c r="J5" i="7"/>
  <c r="K5" i="7"/>
  <c r="L5" i="7"/>
  <c r="M5" i="7"/>
  <c r="N5" i="7"/>
  <c r="J6" i="7"/>
  <c r="K6" i="7"/>
  <c r="L6" i="7"/>
  <c r="M6" i="7"/>
  <c r="N6" i="7"/>
  <c r="J7" i="7"/>
  <c r="K7" i="7"/>
  <c r="L7" i="7"/>
  <c r="M7" i="7"/>
  <c r="N7" i="7"/>
  <c r="J8" i="7"/>
  <c r="K8" i="7"/>
  <c r="L8" i="7"/>
  <c r="M8" i="7"/>
  <c r="N8" i="7"/>
  <c r="J9" i="7"/>
  <c r="K9" i="7"/>
  <c r="L9" i="7"/>
  <c r="M9" i="7"/>
  <c r="N9" i="7"/>
  <c r="J10" i="7"/>
  <c r="K10" i="7"/>
  <c r="L10" i="7"/>
  <c r="M10" i="7"/>
  <c r="N10" i="7"/>
  <c r="J11" i="7"/>
  <c r="K11" i="7"/>
  <c r="L11" i="7"/>
  <c r="M11" i="7"/>
  <c r="N11" i="7"/>
  <c r="J13" i="7"/>
  <c r="K13" i="7"/>
  <c r="L13" i="7"/>
  <c r="M13" i="7"/>
  <c r="N13" i="7"/>
  <c r="J14" i="7"/>
  <c r="K14" i="7"/>
  <c r="L14" i="7"/>
  <c r="M14" i="7"/>
  <c r="N14" i="7"/>
  <c r="J16" i="7"/>
  <c r="K16" i="7"/>
  <c r="L16" i="7"/>
  <c r="M16" i="7"/>
  <c r="N16" i="7"/>
  <c r="J18" i="7"/>
  <c r="K18" i="7"/>
  <c r="L18" i="7"/>
  <c r="M18" i="7"/>
  <c r="N18" i="7"/>
  <c r="J19" i="7"/>
  <c r="K19" i="7"/>
  <c r="L19" i="7"/>
  <c r="M19" i="7"/>
  <c r="N19" i="7"/>
  <c r="J20" i="7"/>
  <c r="K20" i="7"/>
  <c r="L20" i="7"/>
  <c r="M20" i="7"/>
  <c r="N20" i="7"/>
  <c r="J21" i="7"/>
  <c r="K21" i="7"/>
  <c r="L21" i="7"/>
  <c r="M21" i="7"/>
  <c r="N21" i="7"/>
  <c r="J23" i="7"/>
  <c r="K23" i="7"/>
  <c r="L23" i="7"/>
  <c r="M23" i="7"/>
  <c r="N23" i="7"/>
  <c r="J25" i="7"/>
  <c r="K25" i="7"/>
  <c r="L25" i="7"/>
  <c r="M25" i="7"/>
  <c r="N25" i="7"/>
  <c r="J26" i="7"/>
  <c r="K26" i="7"/>
  <c r="L26" i="7"/>
  <c r="M26" i="7"/>
  <c r="N26" i="7"/>
  <c r="J27" i="7"/>
  <c r="K27" i="7"/>
  <c r="L27" i="7"/>
  <c r="M27" i="7"/>
  <c r="N27" i="7"/>
  <c r="J28" i="7"/>
  <c r="K28" i="7"/>
  <c r="L28" i="7"/>
  <c r="M28" i="7"/>
  <c r="N28" i="7"/>
  <c r="J29" i="7"/>
  <c r="K29" i="7"/>
  <c r="L29" i="7"/>
  <c r="M29" i="7"/>
  <c r="N29" i="7"/>
  <c r="J30" i="7"/>
  <c r="J31" i="7"/>
  <c r="K31" i="7"/>
  <c r="L31" i="7"/>
  <c r="M31" i="7"/>
  <c r="N31" i="7"/>
  <c r="J32" i="7"/>
  <c r="K32" i="7"/>
  <c r="L32" i="7"/>
  <c r="M32" i="7"/>
  <c r="N32" i="7"/>
  <c r="J33" i="7"/>
  <c r="K33" i="7"/>
  <c r="L33" i="7"/>
  <c r="M33" i="7"/>
  <c r="N33" i="7"/>
  <c r="K4" i="7"/>
  <c r="L4" i="7"/>
  <c r="M4" i="7"/>
  <c r="N4" i="7"/>
  <c r="J4" i="7"/>
  <c r="P34" i="7" l="1"/>
  <c r="O34" i="7"/>
  <c r="N34" i="7" l="1"/>
  <c r="L34" i="7"/>
  <c r="M34" i="7"/>
  <c r="K34" i="7"/>
  <c r="I4" i="7"/>
  <c r="J34" i="7"/>
  <c r="H34" i="7"/>
  <c r="F34" i="7"/>
  <c r="E34" i="7"/>
  <c r="G34" i="7"/>
  <c r="D34" i="7"/>
  <c r="I34" i="7" l="1"/>
</calcChain>
</file>

<file path=xl/sharedStrings.xml><?xml version="1.0" encoding="utf-8"?>
<sst xmlns="http://schemas.openxmlformats.org/spreadsheetml/2006/main" count="132" uniqueCount="85">
  <si>
    <t xml:space="preserve"> </t>
  </si>
  <si>
    <t>ID</t>
  </si>
  <si>
    <t>R&amp;D proposed program</t>
  </si>
  <si>
    <t>Total FTE</t>
  </si>
  <si>
    <t>Risk score</t>
  </si>
  <si>
    <t>Category</t>
  </si>
  <si>
    <t>year 1</t>
  </si>
  <si>
    <t>year 2</t>
  </si>
  <si>
    <t>year 3</t>
  </si>
  <si>
    <t>year 4</t>
  </si>
  <si>
    <t>year 5</t>
  </si>
  <si>
    <t>Total</t>
  </si>
  <si>
    <t xml:space="preserve">  Year1..5</t>
  </si>
  <si>
    <t>Project ID</t>
  </si>
  <si>
    <t>Next-generation articulated robot platform 2.0</t>
  </si>
  <si>
    <t>Incremental</t>
  </si>
  <si>
    <t>Adaptive multi-axis motion control for articulated and SCARA robots</t>
  </si>
  <si>
    <t>Modular cobot architecture for rapid deployment and scaling</t>
  </si>
  <si>
    <t>Innovation</t>
  </si>
  <si>
    <t>Energy-efficient actuation and powertrain redesign across robot families</t>
  </si>
  <si>
    <t>High-speed delta and SCARA performance optimization program</t>
  </si>
  <si>
    <t>AI-driven path planning and collision avoidance for flexible automation</t>
  </si>
  <si>
    <t>Self-learning calibration system for multi-robot environments</t>
  </si>
  <si>
    <t>Predictive maintenance and health monitoring platform 3.0</t>
  </si>
  <si>
    <t>Light-duty welding robot for mid-capacity manufacturing lines</t>
  </si>
  <si>
    <t>Hybrid human–robot collaboration safety and sensing layer</t>
  </si>
  <si>
    <t>Enhanced digital-twin platform for simulation and process optimization</t>
  </si>
  <si>
    <t>Cloud robotics and edge analytics integration suite</t>
  </si>
  <si>
    <t>Unified robotics API for multi-vendor interoperability</t>
  </si>
  <si>
    <t>Efficiency</t>
  </si>
  <si>
    <t>Low-code programming environment for cobots and mobile robots</t>
  </si>
  <si>
    <t>AI-assisted commissioning and auto-tuning assistant</t>
  </si>
  <si>
    <t>EV-battery module handling and assembly automation cell</t>
  </si>
  <si>
    <t>Flexible food-packaging robotics 5.0 platform</t>
  </si>
  <si>
    <t>Efficient robotic cell pre-assembly, 30% lead time reduction</t>
  </si>
  <si>
    <t>Cost reduction min 20% for healthcare product line</t>
  </si>
  <si>
    <t>Smart palletizing and warehouse integration suite</t>
  </si>
  <si>
    <t>Circular design program for robotic components and reuse</t>
  </si>
  <si>
    <t>Carbon-neutral remanufacturing and service robotics initiative</t>
  </si>
  <si>
    <t>Lightweight materials and composites research for robotic arms</t>
  </si>
  <si>
    <t>Human-centric cobotics for an aging workforce</t>
  </si>
  <si>
    <t>AI-enhanced lifecycle assessment and sustainability analytics</t>
  </si>
  <si>
    <t>Portfolio total</t>
  </si>
  <si>
    <t>Constraints &amp; Goals</t>
  </si>
  <si>
    <t>Constraints</t>
  </si>
  <si>
    <t>Max annual budget (MEUR):</t>
  </si>
  <si>
    <t>Company ABC</t>
  </si>
  <si>
    <t>Business context</t>
  </si>
  <si>
    <t>Operating market:</t>
  </si>
  <si>
    <t>Industrial automation and robotics solutions (hardware, software, systems, and services)</t>
  </si>
  <si>
    <t>Active segments:</t>
  </si>
  <si>
    <t>Automotive, Electronics, Logistics, F&amp;B, Metals, Healthcare</t>
  </si>
  <si>
    <t>Headquarters:</t>
  </si>
  <si>
    <t>Europe</t>
  </si>
  <si>
    <t>Strategic objectives:</t>
  </si>
  <si>
    <t>10% CAGR in next 5 years</t>
  </si>
  <si>
    <t>Strategic focus:</t>
  </si>
  <si>
    <t>Intelligent automation, sustainability, digital engineering and services,  human–robot collaboration</t>
  </si>
  <si>
    <t>Main geo-markets:</t>
  </si>
  <si>
    <t>China, U.S. and Europe</t>
  </si>
  <si>
    <t>Product lines:</t>
  </si>
  <si>
    <t>Articulated robots, collaborative robots, delta and SCARA systems, paint and palletizing robots, welding robotos</t>
  </si>
  <si>
    <t>Annual revenue in EUR:</t>
  </si>
  <si>
    <t>EBITA:</t>
  </si>
  <si>
    <t>Must</t>
  </si>
  <si>
    <r>
      <t xml:space="preserve">Investment </t>
    </r>
    <r>
      <rPr>
        <sz val="11"/>
        <rFont val="Calibri"/>
        <family val="2"/>
        <scheme val="minor"/>
      </rPr>
      <t>(MEUR)</t>
    </r>
  </si>
  <si>
    <t xml:space="preserve"> Year 1..5</t>
  </si>
  <si>
    <t>ESG</t>
  </si>
  <si>
    <t>Compliance</t>
  </si>
  <si>
    <t>Compliance to new EU machinery regulation</t>
  </si>
  <si>
    <t>UL mark to updated US regulation - all robot product families</t>
  </si>
  <si>
    <t>Reduce backlog of field tickets - all robot product families</t>
  </si>
  <si>
    <t>New PDM tool to reduce doc release rework and leadtime</t>
  </si>
  <si>
    <t>Agile process improvement to enable reduced time to market</t>
  </si>
  <si>
    <t>Max annual capacity (FTE):</t>
  </si>
  <si>
    <t>Min annual capacity (FTE):</t>
  </si>
  <si>
    <t>Min annual budget (MEUR):</t>
  </si>
  <si>
    <t>Non-Innovation</t>
  </si>
  <si>
    <r>
      <t xml:space="preserve">NPV
</t>
    </r>
    <r>
      <rPr>
        <sz val="8"/>
        <rFont val="Calibri"/>
        <family val="2"/>
        <scheme val="minor"/>
      </rPr>
      <t>(MEUR)</t>
    </r>
  </si>
  <si>
    <t xml:space="preserve">Project depend. </t>
  </si>
  <si>
    <t>Yes (1)
No (0)</t>
  </si>
  <si>
    <t>Project category volatility</t>
  </si>
  <si>
    <t>NPV</t>
  </si>
  <si>
    <t>Risk</t>
  </si>
  <si>
    <t>Innovation min % of 5y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</si>
</sst>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€&quot;\ 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9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0" fillId="0" borderId="11" xfId="0" applyBorder="1" applyAlignment="1">
      <alignment vertical="center"/>
    </xf>
    <xf numFmtId="9" fontId="0" fillId="0" borderId="11" xfId="0" applyNumberFormat="1" applyBorder="1" applyAlignment="1">
      <alignment vertical="center"/>
    </xf>
    <xf numFmtId="165" fontId="0" fillId="0" borderId="11" xfId="0" applyNumberFormat="1" applyBorder="1" applyAlignment="1">
      <alignment horizontal="left" vertical="center"/>
    </xf>
    <xf numFmtId="9" fontId="0" fillId="0" borderId="11" xfId="0" applyNumberForma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9" fontId="0" fillId="0" borderId="3" xfId="0" applyNumberForma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164" fontId="0" fillId="0" borderId="1" xfId="0" applyNumberForma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164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9" fontId="7" fillId="0" borderId="0" xfId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9" fontId="7" fillId="0" borderId="1" xfId="1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9" fontId="7" fillId="0" borderId="1" xfId="1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175260</xdr:rowOff>
    </xdr:from>
    <xdr:to>
      <xdr:col>13</xdr:col>
      <xdr:colOff>518160</xdr:colOff>
      <xdr:row>22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64F08E-8AC6-45A7-AF3C-A5FF704727D2}"/>
            </a:ext>
          </a:extLst>
        </xdr:cNvPr>
        <xdr:cNvSpPr txBox="1"/>
      </xdr:nvSpPr>
      <xdr:spPr>
        <a:xfrm>
          <a:off x="1295400" y="541020"/>
          <a:ext cx="7147560" cy="35814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kern="1200"/>
            <a:t>PROMPT</a:t>
          </a:r>
        </a:p>
        <a:p>
          <a:endParaRPr lang="en-US" sz="1100" kern="1200"/>
        </a:p>
        <a:p>
          <a:r>
            <a:rPr lang="en-US" sz="1100" kern="1200"/>
            <a:t>Based on attached spreadsheet</a:t>
          </a:r>
          <a:r>
            <a:rPr lang="en-US" sz="1100" kern="1200" baseline="0"/>
            <a:t> tab "R&amp;D Program Dataset" representing a set of R&amp;D program candidates with headlines in </a:t>
          </a:r>
          <a:r>
            <a:rPr lang="en-US" sz="1100" kern="1200" baseline="0">
              <a:solidFill>
                <a:schemeClr val="accent2"/>
              </a:solidFill>
            </a:rPr>
            <a:t>row 3</a:t>
          </a:r>
          <a:r>
            <a:rPr lang="en-US" sz="1100" kern="1200" baseline="0"/>
            <a:t>, code in Python a system that can build a scenarios table with Total NPV (=Portfolio value) and Total Risk score (=Portfolio risk) for at least 25 different scenarios of portfolio selected </a:t>
          </a:r>
          <a:r>
            <a:rPr lang="en-US" sz="1100" b="0" kern="1200" baseline="0"/>
            <a:t>projects </a:t>
          </a:r>
          <a:r>
            <a:rPr lang="en-US" sz="1100" b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(=1 in column T) </a:t>
          </a:r>
          <a:r>
            <a:rPr lang="en-US" sz="1100" kern="1200" baseline="0"/>
            <a:t>combinations following the below constraints - use a GA-type of multi-obective programming technique to create the scenarios following the below objectives and constraints:</a:t>
          </a:r>
        </a:p>
        <a:p>
          <a:r>
            <a:rPr lang="en-U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Maximize Portfolio Value cell </a:t>
          </a:r>
          <a:r>
            <a:rPr lang="en-US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O30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Minimize Portfolio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risk cell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P30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Total investment every year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D30..H30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&lt;= budget max for every year in tab "Constraints &amp; Goals"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E9..I9</a:t>
          </a: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4) Total FTE in each year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J30..N30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&lt;= Total capacity in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 "Constraints &amp; Goals"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E10..I10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5) Total i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nvestment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I30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projects with </a:t>
          </a:r>
          <a:r>
            <a:rPr lang="en-US" sz="11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category="Innovation"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</a:t>
          </a:r>
          <a:r>
            <a:rPr lang="en-US" sz="11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column 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&gt;= in tab "Constraints &amp; Goals"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D11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A selected project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(=1 in column T)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cannot be dependent (</a:t>
          </a:r>
          <a:r>
            <a:rPr lang="en-US" sz="11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column Q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blank) from a non-selected project</a:t>
          </a:r>
          <a:endParaRPr lang="en-NL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A "Must be selected" </a:t>
          </a:r>
          <a:r>
            <a:rPr lang="en-US" sz="110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(=1 in column S)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 cannot be excluded from portfolio selection, meaning =1 in </a:t>
          </a:r>
          <a:r>
            <a:rPr lang="en-US" sz="11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column T</a:t>
          </a:r>
          <a:endParaRPr lang="en-NL">
            <a:solidFill>
              <a:srgbClr val="C00000"/>
            </a:solidFill>
            <a:effectLst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2C3-C04D-48CC-B9CA-2FDA7A2310DB}">
  <sheetPr>
    <tabColor theme="3" tint="-0.249977111117893"/>
  </sheetPr>
  <dimension ref="B2:C14"/>
  <sheetViews>
    <sheetView showGridLines="0" workbookViewId="0">
      <selection activeCell="C11" sqref="C11"/>
    </sheetView>
  </sheetViews>
  <sheetFormatPr defaultColWidth="8.85546875" defaultRowHeight="15" x14ac:dyDescent="0.25"/>
  <cols>
    <col min="1" max="1" width="5.5703125" style="1" customWidth="1"/>
    <col min="2" max="2" width="27.140625" style="1" bestFit="1" customWidth="1"/>
    <col min="3" max="3" width="93.140625" style="1" bestFit="1" customWidth="1"/>
    <col min="4" max="16384" width="8.85546875" style="1"/>
  </cols>
  <sheetData>
    <row r="2" spans="2:3" ht="21" x14ac:dyDescent="0.25">
      <c r="B2" s="5" t="s">
        <v>46</v>
      </c>
    </row>
    <row r="3" spans="2:3" x14ac:dyDescent="0.25">
      <c r="B3" s="8"/>
    </row>
    <row r="4" spans="2:3" x14ac:dyDescent="0.25">
      <c r="B4" s="6" t="s">
        <v>47</v>
      </c>
    </row>
    <row r="5" spans="2:3" x14ac:dyDescent="0.25">
      <c r="B5" s="13" t="s">
        <v>48</v>
      </c>
      <c r="C5" s="14" t="s">
        <v>49</v>
      </c>
    </row>
    <row r="6" spans="2:3" x14ac:dyDescent="0.25">
      <c r="B6" s="15" t="s">
        <v>50</v>
      </c>
      <c r="C6" s="16" t="s">
        <v>51</v>
      </c>
    </row>
    <row r="7" spans="2:3" x14ac:dyDescent="0.25">
      <c r="B7" s="15" t="s">
        <v>52</v>
      </c>
      <c r="C7" s="16" t="s">
        <v>53</v>
      </c>
    </row>
    <row r="8" spans="2:3" x14ac:dyDescent="0.25">
      <c r="B8" s="15" t="s">
        <v>54</v>
      </c>
      <c r="C8" s="16" t="s">
        <v>55</v>
      </c>
    </row>
    <row r="9" spans="2:3" x14ac:dyDescent="0.25">
      <c r="B9" s="15" t="s">
        <v>56</v>
      </c>
      <c r="C9" s="16" t="s">
        <v>57</v>
      </c>
    </row>
    <row r="10" spans="2:3" x14ac:dyDescent="0.25">
      <c r="B10" s="15" t="s">
        <v>58</v>
      </c>
      <c r="C10" s="17" t="s">
        <v>59</v>
      </c>
    </row>
    <row r="11" spans="2:3" x14ac:dyDescent="0.25">
      <c r="B11" s="15" t="s">
        <v>60</v>
      </c>
      <c r="C11" s="17" t="s">
        <v>61</v>
      </c>
    </row>
    <row r="12" spans="2:3" x14ac:dyDescent="0.25">
      <c r="B12" s="15" t="s">
        <v>62</v>
      </c>
      <c r="C12" s="18">
        <v>500000000</v>
      </c>
    </row>
    <row r="13" spans="2:3" x14ac:dyDescent="0.25">
      <c r="B13" s="15" t="s">
        <v>63</v>
      </c>
      <c r="C13" s="19">
        <v>0.08</v>
      </c>
    </row>
    <row r="14" spans="2:3" x14ac:dyDescent="0.25">
      <c r="B14" s="20" t="s">
        <v>0</v>
      </c>
      <c r="C14" s="2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668-6B87-4BC3-BEFD-AB145D953157}">
  <sheetPr>
    <tabColor theme="9"/>
  </sheetPr>
  <dimension ref="B2:S37"/>
  <sheetViews>
    <sheetView showGridLines="0" zoomScale="90" zoomScaleNormal="90" workbookViewId="0">
      <selection activeCell="E24" sqref="E24"/>
    </sheetView>
  </sheetViews>
  <sheetFormatPr defaultColWidth="8.85546875" defaultRowHeight="15" x14ac:dyDescent="0.25"/>
  <cols>
    <col min="1" max="1" width="1.7109375" style="1" customWidth="1"/>
    <col min="2" max="2" width="3.7109375" style="1" customWidth="1"/>
    <col min="3" max="3" width="64.85546875" style="1" bestFit="1" customWidth="1"/>
    <col min="4" max="4" width="7" style="3" bestFit="1" customWidth="1"/>
    <col min="5" max="8" width="7" style="1" bestFit="1" customWidth="1"/>
    <col min="9" max="9" width="6" style="1" bestFit="1" customWidth="1"/>
    <col min="10" max="14" width="7" style="1" bestFit="1" customWidth="1"/>
    <col min="15" max="15" width="7.85546875" style="1" customWidth="1"/>
    <col min="16" max="16" width="8.140625" style="1" customWidth="1"/>
    <col min="17" max="17" width="9" style="1" customWidth="1"/>
    <col min="18" max="18" width="11.7109375" style="1" bestFit="1" customWidth="1"/>
    <col min="19" max="19" width="7" style="1" customWidth="1"/>
    <col min="20" max="20" width="13.28515625" style="1" bestFit="1" customWidth="1"/>
    <col min="21" max="21" width="19.5703125" style="1" bestFit="1" customWidth="1"/>
    <col min="22" max="22" width="14.7109375" style="1" bestFit="1" customWidth="1"/>
    <col min="23" max="23" width="20.140625" style="1" bestFit="1" customWidth="1"/>
    <col min="24" max="24" width="12.7109375" style="1" bestFit="1" customWidth="1"/>
    <col min="25" max="16384" width="8.85546875" style="1"/>
  </cols>
  <sheetData>
    <row r="2" spans="2:19" ht="30" x14ac:dyDescent="0.25">
      <c r="B2" s="2" t="s">
        <v>1</v>
      </c>
      <c r="C2" s="7" t="s">
        <v>2</v>
      </c>
      <c r="D2" s="53" t="s">
        <v>65</v>
      </c>
      <c r="E2" s="54"/>
      <c r="F2" s="54"/>
      <c r="G2" s="54"/>
      <c r="H2" s="54"/>
      <c r="I2" s="55"/>
      <c r="J2" s="53" t="s">
        <v>3</v>
      </c>
      <c r="K2" s="54"/>
      <c r="L2" s="54"/>
      <c r="M2" s="54"/>
      <c r="N2" s="55"/>
      <c r="O2" s="23" t="s">
        <v>78</v>
      </c>
      <c r="P2" s="23" t="s">
        <v>4</v>
      </c>
      <c r="Q2" s="23" t="s">
        <v>79</v>
      </c>
      <c r="R2" s="7" t="s">
        <v>5</v>
      </c>
      <c r="S2" s="22" t="s">
        <v>64</v>
      </c>
    </row>
    <row r="3" spans="2:19" ht="30" x14ac:dyDescent="0.25">
      <c r="B3" s="2" t="s">
        <v>0</v>
      </c>
      <c r="C3" s="7" t="s">
        <v>0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  <c r="J3" s="25" t="s">
        <v>6</v>
      </c>
      <c r="K3" s="24" t="s">
        <v>7</v>
      </c>
      <c r="L3" s="24" t="s">
        <v>8</v>
      </c>
      <c r="M3" s="24" t="s">
        <v>9</v>
      </c>
      <c r="N3" s="24" t="s">
        <v>10</v>
      </c>
      <c r="O3" s="26" t="s">
        <v>66</v>
      </c>
      <c r="P3" s="24" t="s">
        <v>12</v>
      </c>
      <c r="Q3" s="24" t="s">
        <v>13</v>
      </c>
      <c r="R3" s="27"/>
      <c r="S3" s="28" t="s">
        <v>80</v>
      </c>
    </row>
    <row r="4" spans="2:19" x14ac:dyDescent="0.25">
      <c r="B4" s="29">
        <v>1</v>
      </c>
      <c r="C4" s="30" t="s">
        <v>14</v>
      </c>
      <c r="D4" s="31">
        <v>3.1</v>
      </c>
      <c r="E4" s="31">
        <v>2.378365150155429</v>
      </c>
      <c r="F4" s="31">
        <v>2.5</v>
      </c>
      <c r="G4" s="31">
        <v>0.2</v>
      </c>
      <c r="H4" s="31">
        <v>0.2</v>
      </c>
      <c r="I4" s="31">
        <f>SUM(D4:H4)</f>
        <v>8.3783651501554282</v>
      </c>
      <c r="J4" s="31">
        <f>D4/0.15</f>
        <v>20.666666666666668</v>
      </c>
      <c r="K4" s="31">
        <f t="shared" ref="K4:N4" si="0">E4/0.15</f>
        <v>15.85576766770286</v>
      </c>
      <c r="L4" s="31">
        <f t="shared" si="0"/>
        <v>16.666666666666668</v>
      </c>
      <c r="M4" s="31">
        <f t="shared" si="0"/>
        <v>1.3333333333333335</v>
      </c>
      <c r="N4" s="31">
        <f t="shared" si="0"/>
        <v>1.3333333333333335</v>
      </c>
      <c r="O4" s="32">
        <v>17.874411280335128</v>
      </c>
      <c r="P4" s="33">
        <v>2.5</v>
      </c>
      <c r="Q4" s="11">
        <v>7</v>
      </c>
      <c r="R4" s="34" t="s">
        <v>15</v>
      </c>
      <c r="S4" s="11">
        <v>0</v>
      </c>
    </row>
    <row r="5" spans="2:19" x14ac:dyDescent="0.25">
      <c r="B5" s="29">
        <v>2</v>
      </c>
      <c r="C5" s="30" t="s">
        <v>16</v>
      </c>
      <c r="D5" s="31">
        <v>1</v>
      </c>
      <c r="E5" s="31">
        <v>3.1342098061236596</v>
      </c>
      <c r="F5" s="31">
        <v>0</v>
      </c>
      <c r="G5" s="31">
        <v>0</v>
      </c>
      <c r="H5" s="31">
        <v>0</v>
      </c>
      <c r="I5" s="31">
        <f t="shared" ref="I5:I33" si="1">SUM(D5:H5)</f>
        <v>4.1342098061236596</v>
      </c>
      <c r="J5" s="31">
        <f t="shared" ref="J5:J33" si="2">D5/0.15</f>
        <v>6.666666666666667</v>
      </c>
      <c r="K5" s="31">
        <f t="shared" ref="K5:K33" si="3">E5/0.15</f>
        <v>20.894732040824398</v>
      </c>
      <c r="L5" s="31">
        <f t="shared" ref="L5:L33" si="4">F5/0.15</f>
        <v>0</v>
      </c>
      <c r="M5" s="31">
        <f t="shared" ref="M5:M33" si="5">G5/0.15</f>
        <v>0</v>
      </c>
      <c r="N5" s="31">
        <f t="shared" ref="N5:N33" si="6">H5/0.15</f>
        <v>0</v>
      </c>
      <c r="O5" s="32">
        <v>15.489543017184136</v>
      </c>
      <c r="P5" s="33">
        <v>1.8585969975650951</v>
      </c>
      <c r="Q5" s="11">
        <v>7</v>
      </c>
      <c r="R5" s="11" t="s">
        <v>18</v>
      </c>
      <c r="S5" s="11">
        <v>0</v>
      </c>
    </row>
    <row r="6" spans="2:19" x14ac:dyDescent="0.25">
      <c r="B6" s="29">
        <v>3</v>
      </c>
      <c r="C6" s="30" t="s">
        <v>17</v>
      </c>
      <c r="D6" s="31">
        <v>4.0898300687947007</v>
      </c>
      <c r="E6" s="31">
        <v>4.4142352090100072</v>
      </c>
      <c r="F6" s="31">
        <v>0.5</v>
      </c>
      <c r="G6" s="31">
        <v>0.5</v>
      </c>
      <c r="H6" s="31">
        <v>0.5</v>
      </c>
      <c r="I6" s="31">
        <f t="shared" si="1"/>
        <v>10.004065277804708</v>
      </c>
      <c r="J6" s="31">
        <f t="shared" si="2"/>
        <v>27.265533791964671</v>
      </c>
      <c r="K6" s="31">
        <f t="shared" si="3"/>
        <v>29.428234726733383</v>
      </c>
      <c r="L6" s="31">
        <f t="shared" si="4"/>
        <v>3.3333333333333335</v>
      </c>
      <c r="M6" s="31">
        <f t="shared" si="5"/>
        <v>3.3333333333333335</v>
      </c>
      <c r="N6" s="31">
        <f t="shared" si="6"/>
        <v>3.3333333333333335</v>
      </c>
      <c r="O6" s="32">
        <v>19.488113402521915</v>
      </c>
      <c r="P6" s="33">
        <v>0.55601800692308356</v>
      </c>
      <c r="Q6" s="11"/>
      <c r="R6" s="11" t="s">
        <v>15</v>
      </c>
      <c r="S6" s="11">
        <v>0</v>
      </c>
    </row>
    <row r="7" spans="2:19" x14ac:dyDescent="0.25">
      <c r="B7" s="29">
        <v>4</v>
      </c>
      <c r="C7" s="30" t="s">
        <v>19</v>
      </c>
      <c r="D7" s="31">
        <v>1.870435627070643</v>
      </c>
      <c r="E7" s="31">
        <v>3.8888287728449686</v>
      </c>
      <c r="F7" s="31">
        <v>3.5328547701226682</v>
      </c>
      <c r="G7" s="31">
        <v>1.7964885625195186</v>
      </c>
      <c r="H7" s="31">
        <v>1.8998610094192059</v>
      </c>
      <c r="I7" s="31">
        <f t="shared" si="1"/>
        <v>12.988468741977005</v>
      </c>
      <c r="J7" s="31">
        <f t="shared" si="2"/>
        <v>12.469570847137621</v>
      </c>
      <c r="K7" s="31">
        <f t="shared" si="3"/>
        <v>25.925525152299791</v>
      </c>
      <c r="L7" s="31">
        <f t="shared" si="4"/>
        <v>23.552365134151124</v>
      </c>
      <c r="M7" s="31">
        <f t="shared" si="5"/>
        <v>11.976590416796791</v>
      </c>
      <c r="N7" s="31">
        <f t="shared" si="6"/>
        <v>12.665740062794706</v>
      </c>
      <c r="O7" s="32">
        <v>17.362352563134209</v>
      </c>
      <c r="P7" s="33">
        <v>0.63888799736437552</v>
      </c>
      <c r="Q7" s="11">
        <v>16</v>
      </c>
      <c r="R7" s="11" t="s">
        <v>15</v>
      </c>
      <c r="S7" s="11">
        <v>0</v>
      </c>
    </row>
    <row r="8" spans="2:19" x14ac:dyDescent="0.25">
      <c r="B8" s="29">
        <v>5</v>
      </c>
      <c r="C8" s="30" t="s">
        <v>20</v>
      </c>
      <c r="D8" s="31">
        <v>4</v>
      </c>
      <c r="E8" s="31">
        <v>0.49019126979794381</v>
      </c>
      <c r="F8" s="31">
        <v>4.4753720723693142</v>
      </c>
      <c r="G8" s="31">
        <v>4.518190978749665</v>
      </c>
      <c r="H8" s="31">
        <v>1.7758835380477378</v>
      </c>
      <c r="I8" s="31">
        <f t="shared" si="1"/>
        <v>15.259637858964661</v>
      </c>
      <c r="J8" s="31">
        <f t="shared" si="2"/>
        <v>26.666666666666668</v>
      </c>
      <c r="K8" s="31">
        <f t="shared" si="3"/>
        <v>3.2679417986529589</v>
      </c>
      <c r="L8" s="31">
        <f t="shared" si="4"/>
        <v>29.835813815795429</v>
      </c>
      <c r="M8" s="31">
        <f t="shared" si="5"/>
        <v>30.121273191664436</v>
      </c>
      <c r="N8" s="31">
        <f t="shared" si="6"/>
        <v>11.83922358698492</v>
      </c>
      <c r="O8" s="32">
        <v>6.7276618899035521</v>
      </c>
      <c r="P8" s="33">
        <v>0.44708865564199396</v>
      </c>
      <c r="Q8" s="11"/>
      <c r="R8" s="11" t="s">
        <v>15</v>
      </c>
      <c r="S8" s="11">
        <v>0</v>
      </c>
    </row>
    <row r="9" spans="2:19" x14ac:dyDescent="0.25">
      <c r="B9" s="29">
        <v>6</v>
      </c>
      <c r="C9" s="35" t="s">
        <v>21</v>
      </c>
      <c r="D9" s="31">
        <v>1.8674631588391728</v>
      </c>
      <c r="E9" s="31">
        <v>3.7998991562030837</v>
      </c>
      <c r="F9" s="31">
        <v>1.5668428147621256</v>
      </c>
      <c r="G9" s="31">
        <v>2.5866516334760896</v>
      </c>
      <c r="H9" s="31">
        <v>3.9727180263120347</v>
      </c>
      <c r="I9" s="31">
        <f t="shared" si="1"/>
        <v>13.793574789592505</v>
      </c>
      <c r="J9" s="31">
        <f t="shared" si="2"/>
        <v>12.449754392261152</v>
      </c>
      <c r="K9" s="31">
        <f t="shared" si="3"/>
        <v>25.332661041353891</v>
      </c>
      <c r="L9" s="31">
        <f t="shared" si="4"/>
        <v>10.445618765080837</v>
      </c>
      <c r="M9" s="31">
        <f t="shared" si="5"/>
        <v>17.244344223173933</v>
      </c>
      <c r="N9" s="31">
        <f t="shared" si="6"/>
        <v>26.484786842080233</v>
      </c>
      <c r="O9" s="32">
        <v>24.490206756889314</v>
      </c>
      <c r="P9" s="33">
        <v>0.50590219812642667</v>
      </c>
      <c r="Q9" s="11"/>
      <c r="R9" s="11" t="s">
        <v>18</v>
      </c>
      <c r="S9" s="11">
        <v>0</v>
      </c>
    </row>
    <row r="10" spans="2:19" x14ac:dyDescent="0.25">
      <c r="B10" s="29">
        <v>7</v>
      </c>
      <c r="C10" s="35" t="s">
        <v>22</v>
      </c>
      <c r="D10" s="31">
        <v>2.8079894659723577</v>
      </c>
      <c r="E10" s="31">
        <v>3.7348882810253361</v>
      </c>
      <c r="F10" s="31">
        <v>1.5002650696031417</v>
      </c>
      <c r="G10" s="31">
        <v>0.97404195730860343</v>
      </c>
      <c r="H10" s="31">
        <v>0.59978794369257293</v>
      </c>
      <c r="I10" s="31">
        <f t="shared" si="1"/>
        <v>9.6169727176020103</v>
      </c>
      <c r="J10" s="31">
        <f t="shared" si="2"/>
        <v>18.719929773149051</v>
      </c>
      <c r="K10" s="31">
        <f t="shared" si="3"/>
        <v>24.899255206835576</v>
      </c>
      <c r="L10" s="31">
        <f t="shared" si="4"/>
        <v>10.001767130687611</v>
      </c>
      <c r="M10" s="31">
        <f t="shared" si="5"/>
        <v>6.4936130487240229</v>
      </c>
      <c r="N10" s="31">
        <f t="shared" si="6"/>
        <v>3.9985862912838197</v>
      </c>
      <c r="O10" s="32">
        <v>11.554775141464178</v>
      </c>
      <c r="P10" s="33">
        <v>0.99807324729786862</v>
      </c>
      <c r="Q10" s="11"/>
      <c r="R10" s="11" t="s">
        <v>15</v>
      </c>
      <c r="S10" s="11">
        <v>0</v>
      </c>
    </row>
    <row r="11" spans="2:19" x14ac:dyDescent="0.25">
      <c r="B11" s="29">
        <v>8</v>
      </c>
      <c r="C11" s="35" t="s">
        <v>23</v>
      </c>
      <c r="D11" s="31">
        <v>1.385406293773281</v>
      </c>
      <c r="E11" s="31">
        <v>2.574008620702346</v>
      </c>
      <c r="F11" s="31">
        <v>2.1641966132484813</v>
      </c>
      <c r="G11" s="31">
        <v>1.8967427939665131</v>
      </c>
      <c r="H11" s="31">
        <v>3.4967769105154627</v>
      </c>
      <c r="I11" s="31">
        <f t="shared" si="1"/>
        <v>11.517131232206085</v>
      </c>
      <c r="J11" s="31">
        <f t="shared" si="2"/>
        <v>9.2360419584885403</v>
      </c>
      <c r="K11" s="31">
        <f t="shared" si="3"/>
        <v>17.160057471348974</v>
      </c>
      <c r="L11" s="31">
        <f t="shared" si="4"/>
        <v>14.427977421656543</v>
      </c>
      <c r="M11" s="31">
        <f t="shared" si="5"/>
        <v>12.644951959776755</v>
      </c>
      <c r="N11" s="31">
        <f t="shared" si="6"/>
        <v>23.311846070103087</v>
      </c>
      <c r="O11" s="32">
        <v>9.391499360302916</v>
      </c>
      <c r="P11" s="33">
        <v>0.78251921510690092</v>
      </c>
      <c r="Q11" s="11"/>
      <c r="R11" s="11" t="s">
        <v>15</v>
      </c>
      <c r="S11" s="11">
        <v>0</v>
      </c>
    </row>
    <row r="12" spans="2:19" x14ac:dyDescent="0.25">
      <c r="B12" s="29">
        <v>9</v>
      </c>
      <c r="C12" s="35" t="s">
        <v>71</v>
      </c>
      <c r="D12" s="31">
        <v>0.8</v>
      </c>
      <c r="E12" s="31">
        <v>0.8</v>
      </c>
      <c r="F12" s="31">
        <v>0</v>
      </c>
      <c r="G12" s="31">
        <v>0</v>
      </c>
      <c r="H12" s="31">
        <v>0</v>
      </c>
      <c r="I12" s="31">
        <f t="shared" si="1"/>
        <v>1.6</v>
      </c>
      <c r="J12" s="31">
        <v>4</v>
      </c>
      <c r="K12" s="31">
        <v>4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v>1.5</v>
      </c>
      <c r="P12" s="33">
        <v>0.3</v>
      </c>
      <c r="Q12" s="11"/>
      <c r="R12" s="11" t="s">
        <v>29</v>
      </c>
      <c r="S12" s="11">
        <v>0</v>
      </c>
    </row>
    <row r="13" spans="2:19" x14ac:dyDescent="0.25">
      <c r="B13" s="29">
        <v>10</v>
      </c>
      <c r="C13" s="35" t="s">
        <v>24</v>
      </c>
      <c r="D13" s="31">
        <v>4.7588746150489705</v>
      </c>
      <c r="E13" s="31">
        <v>3.3025175152808188</v>
      </c>
      <c r="F13" s="31">
        <v>0.99523150159086415</v>
      </c>
      <c r="G13" s="31">
        <v>4.2683228000374811</v>
      </c>
      <c r="H13" s="31">
        <v>3</v>
      </c>
      <c r="I13" s="31">
        <f t="shared" si="1"/>
        <v>16.324946431958132</v>
      </c>
      <c r="J13" s="31">
        <f t="shared" si="2"/>
        <v>31.725830766993138</v>
      </c>
      <c r="K13" s="31">
        <f t="shared" si="3"/>
        <v>22.016783435205461</v>
      </c>
      <c r="L13" s="31">
        <f t="shared" si="4"/>
        <v>6.6348766772724277</v>
      </c>
      <c r="M13" s="31">
        <f t="shared" si="5"/>
        <v>28.455485333583209</v>
      </c>
      <c r="N13" s="31">
        <f t="shared" si="6"/>
        <v>20</v>
      </c>
      <c r="O13" s="32">
        <v>25.365068630056196</v>
      </c>
      <c r="P13" s="33">
        <v>4.2</v>
      </c>
      <c r="Q13" s="11">
        <v>23</v>
      </c>
      <c r="R13" s="11" t="s">
        <v>15</v>
      </c>
      <c r="S13" s="11">
        <v>0</v>
      </c>
    </row>
    <row r="14" spans="2:19" x14ac:dyDescent="0.25">
      <c r="B14" s="29">
        <v>11</v>
      </c>
      <c r="C14" s="35" t="s">
        <v>25</v>
      </c>
      <c r="D14" s="31">
        <v>1.2490649504857665</v>
      </c>
      <c r="E14" s="31">
        <v>2.8901977926905955</v>
      </c>
      <c r="F14" s="31">
        <v>4.7453149139179107</v>
      </c>
      <c r="G14" s="31">
        <v>4.5955267836800386</v>
      </c>
      <c r="H14" s="31">
        <v>2.063033750083441</v>
      </c>
      <c r="I14" s="31">
        <f t="shared" si="1"/>
        <v>15.543138190857754</v>
      </c>
      <c r="J14" s="31">
        <f t="shared" si="2"/>
        <v>8.3270996699051096</v>
      </c>
      <c r="K14" s="31">
        <f t="shared" si="3"/>
        <v>19.26798528460397</v>
      </c>
      <c r="L14" s="31">
        <f t="shared" si="4"/>
        <v>31.63543275945274</v>
      </c>
      <c r="M14" s="31">
        <f t="shared" si="5"/>
        <v>30.636845224533591</v>
      </c>
      <c r="N14" s="31">
        <f t="shared" si="6"/>
        <v>13.753558333889607</v>
      </c>
      <c r="O14" s="32">
        <v>4.6629093623241866</v>
      </c>
      <c r="P14" s="33">
        <v>0.76656842554512872</v>
      </c>
      <c r="Q14" s="11"/>
      <c r="R14" s="11" t="s">
        <v>18</v>
      </c>
      <c r="S14" s="11">
        <v>1</v>
      </c>
    </row>
    <row r="15" spans="2:19" x14ac:dyDescent="0.25">
      <c r="B15" s="29">
        <v>12</v>
      </c>
      <c r="C15" s="35" t="s">
        <v>69</v>
      </c>
      <c r="D15" s="31">
        <v>0.3</v>
      </c>
      <c r="E15" s="31">
        <v>0.5</v>
      </c>
      <c r="F15" s="31">
        <v>0.5</v>
      </c>
      <c r="G15" s="31">
        <v>0</v>
      </c>
      <c r="H15" s="31">
        <v>0</v>
      </c>
      <c r="I15" s="31">
        <f t="shared" si="1"/>
        <v>1.3</v>
      </c>
      <c r="J15" s="31">
        <f t="shared" si="2"/>
        <v>2</v>
      </c>
      <c r="K15" s="31">
        <v>3</v>
      </c>
      <c r="L15" s="31">
        <v>3</v>
      </c>
      <c r="M15" s="31">
        <f t="shared" si="5"/>
        <v>0</v>
      </c>
      <c r="N15" s="31">
        <f t="shared" si="6"/>
        <v>0</v>
      </c>
      <c r="O15" s="32">
        <v>0</v>
      </c>
      <c r="P15" s="33">
        <v>0.5</v>
      </c>
      <c r="Q15" s="11"/>
      <c r="R15" s="11" t="s">
        <v>68</v>
      </c>
      <c r="S15" s="11">
        <v>1</v>
      </c>
    </row>
    <row r="16" spans="2:19" x14ac:dyDescent="0.25">
      <c r="B16" s="29">
        <v>13</v>
      </c>
      <c r="C16" s="35" t="s">
        <v>26</v>
      </c>
      <c r="D16" s="31">
        <v>2.2393739023805406</v>
      </c>
      <c r="E16" s="31">
        <v>4.9694596556604278</v>
      </c>
      <c r="F16" s="31">
        <v>1.3003153087753039</v>
      </c>
      <c r="G16" s="31">
        <v>1.9125765033527364</v>
      </c>
      <c r="H16" s="31">
        <v>1.3771419933718565</v>
      </c>
      <c r="I16" s="31">
        <f t="shared" si="1"/>
        <v>11.798867363540865</v>
      </c>
      <c r="J16" s="31">
        <f t="shared" si="2"/>
        <v>14.929159349203605</v>
      </c>
      <c r="K16" s="31">
        <f t="shared" si="3"/>
        <v>33.129731037736185</v>
      </c>
      <c r="L16" s="31">
        <f t="shared" si="4"/>
        <v>8.6687687251686931</v>
      </c>
      <c r="M16" s="31">
        <f t="shared" si="5"/>
        <v>12.750510022351577</v>
      </c>
      <c r="N16" s="31">
        <f t="shared" si="6"/>
        <v>9.180946622479043</v>
      </c>
      <c r="O16" s="32">
        <v>23.108113951394404</v>
      </c>
      <c r="P16" s="33">
        <v>1.9001495626086939</v>
      </c>
      <c r="Q16" s="11">
        <v>25</v>
      </c>
      <c r="R16" s="11" t="s">
        <v>15</v>
      </c>
      <c r="S16" s="11">
        <v>0</v>
      </c>
    </row>
    <row r="17" spans="2:19" x14ac:dyDescent="0.25">
      <c r="B17" s="29">
        <v>14</v>
      </c>
      <c r="C17" s="35" t="s">
        <v>73</v>
      </c>
      <c r="D17" s="31">
        <v>1.2</v>
      </c>
      <c r="E17" s="31">
        <v>0.8</v>
      </c>
      <c r="F17" s="31">
        <v>0</v>
      </c>
      <c r="G17" s="31">
        <v>0</v>
      </c>
      <c r="H17" s="31">
        <v>0</v>
      </c>
      <c r="I17" s="31">
        <f t="shared" si="1"/>
        <v>2</v>
      </c>
      <c r="J17" s="31">
        <v>5.2</v>
      </c>
      <c r="K17" s="31">
        <v>3.4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v>1.8</v>
      </c>
      <c r="P17" s="33">
        <v>1.5</v>
      </c>
      <c r="Q17" s="11"/>
      <c r="R17" s="11" t="s">
        <v>29</v>
      </c>
      <c r="S17" s="11">
        <v>0</v>
      </c>
    </row>
    <row r="18" spans="2:19" x14ac:dyDescent="0.25">
      <c r="B18" s="29">
        <v>15</v>
      </c>
      <c r="C18" s="35" t="s">
        <v>27</v>
      </c>
      <c r="D18" s="31">
        <v>0.77691512226194082</v>
      </c>
      <c r="E18" s="31">
        <v>0.90057617924986177</v>
      </c>
      <c r="F18" s="31">
        <v>2.8330598861669145</v>
      </c>
      <c r="G18" s="31">
        <v>1.1204897858044123</v>
      </c>
      <c r="H18" s="31">
        <v>2.8730998582897582</v>
      </c>
      <c r="I18" s="31">
        <f t="shared" si="1"/>
        <v>8.5041408317728866</v>
      </c>
      <c r="J18" s="31">
        <f t="shared" si="2"/>
        <v>5.1794341484129394</v>
      </c>
      <c r="K18" s="31">
        <f t="shared" si="3"/>
        <v>6.0038411949990786</v>
      </c>
      <c r="L18" s="31">
        <f t="shared" si="4"/>
        <v>18.88706590777943</v>
      </c>
      <c r="M18" s="31">
        <f t="shared" si="5"/>
        <v>7.4699319053627491</v>
      </c>
      <c r="N18" s="31">
        <f t="shared" si="6"/>
        <v>19.153999055265057</v>
      </c>
      <c r="O18" s="32">
        <v>1.4056175535941309</v>
      </c>
      <c r="P18" s="33">
        <v>1.0631945726555561</v>
      </c>
      <c r="Q18" s="11"/>
      <c r="R18" s="11" t="s">
        <v>18</v>
      </c>
      <c r="S18" s="11">
        <v>0</v>
      </c>
    </row>
    <row r="19" spans="2:19" x14ac:dyDescent="0.25">
      <c r="B19" s="29">
        <v>16</v>
      </c>
      <c r="C19" s="35" t="s">
        <v>28</v>
      </c>
      <c r="D19" s="31">
        <v>3.9767874437824213</v>
      </c>
      <c r="E19" s="31">
        <v>2.047468453415747</v>
      </c>
      <c r="F19" s="31">
        <v>1</v>
      </c>
      <c r="G19" s="31">
        <v>2.2999999999999998</v>
      </c>
      <c r="H19" s="31">
        <v>1.5</v>
      </c>
      <c r="I19" s="31">
        <f t="shared" si="1"/>
        <v>10.824255897198167</v>
      </c>
      <c r="J19" s="31">
        <f t="shared" si="2"/>
        <v>26.511916291882809</v>
      </c>
      <c r="K19" s="31">
        <f t="shared" si="3"/>
        <v>13.649789689438315</v>
      </c>
      <c r="L19" s="31">
        <f t="shared" si="4"/>
        <v>6.666666666666667</v>
      </c>
      <c r="M19" s="31">
        <f t="shared" si="5"/>
        <v>15.333333333333332</v>
      </c>
      <c r="N19" s="31">
        <f t="shared" si="6"/>
        <v>10</v>
      </c>
      <c r="O19" s="32">
        <v>15.788419660703191</v>
      </c>
      <c r="P19" s="33">
        <v>1.5926734598496073</v>
      </c>
      <c r="Q19" s="11"/>
      <c r="R19" s="11" t="s">
        <v>29</v>
      </c>
      <c r="S19" s="11">
        <v>0</v>
      </c>
    </row>
    <row r="20" spans="2:19" x14ac:dyDescent="0.25">
      <c r="B20" s="29">
        <v>17</v>
      </c>
      <c r="C20" s="35" t="s">
        <v>30</v>
      </c>
      <c r="D20" s="31">
        <v>3.7809199649184331</v>
      </c>
      <c r="E20" s="31">
        <v>4.4990052623285468</v>
      </c>
      <c r="F20" s="31">
        <v>0.84489802072841624</v>
      </c>
      <c r="G20" s="31">
        <v>1.5494628502879093</v>
      </c>
      <c r="H20" s="31">
        <v>0.8599933818231692</v>
      </c>
      <c r="I20" s="31">
        <f t="shared" si="1"/>
        <v>11.534279480086477</v>
      </c>
      <c r="J20" s="31">
        <f t="shared" si="2"/>
        <v>25.20613309945622</v>
      </c>
      <c r="K20" s="31">
        <f t="shared" si="3"/>
        <v>29.993368415523648</v>
      </c>
      <c r="L20" s="31">
        <f t="shared" si="4"/>
        <v>5.632653471522775</v>
      </c>
      <c r="M20" s="31">
        <f t="shared" si="5"/>
        <v>10.32975233525273</v>
      </c>
      <c r="N20" s="31">
        <f t="shared" si="6"/>
        <v>5.7332892121544612</v>
      </c>
      <c r="O20" s="32">
        <v>2.131073167847902</v>
      </c>
      <c r="P20" s="33">
        <v>0.41003493157501653</v>
      </c>
      <c r="Q20" s="11"/>
      <c r="R20" s="11" t="s">
        <v>15</v>
      </c>
      <c r="S20" s="11">
        <v>0</v>
      </c>
    </row>
    <row r="21" spans="2:19" x14ac:dyDescent="0.25">
      <c r="B21" s="29">
        <v>18</v>
      </c>
      <c r="C21" s="35" t="s">
        <v>31</v>
      </c>
      <c r="D21" s="31">
        <v>3.7672587092377423</v>
      </c>
      <c r="E21" s="31">
        <v>1.2653581243505829</v>
      </c>
      <c r="F21" s="31">
        <v>3.148214071759512</v>
      </c>
      <c r="G21" s="31">
        <v>0.10184236109595068</v>
      </c>
      <c r="H21" s="31">
        <v>3.4585321058866065</v>
      </c>
      <c r="I21" s="31">
        <f t="shared" si="1"/>
        <v>11.741205372330395</v>
      </c>
      <c r="J21" s="31">
        <f t="shared" si="2"/>
        <v>25.11505806158495</v>
      </c>
      <c r="K21" s="31">
        <f t="shared" si="3"/>
        <v>8.4357208290038859</v>
      </c>
      <c r="L21" s="31">
        <f t="shared" si="4"/>
        <v>20.988093811730081</v>
      </c>
      <c r="M21" s="31">
        <f t="shared" si="5"/>
        <v>0.67894907397300464</v>
      </c>
      <c r="N21" s="31">
        <f t="shared" si="6"/>
        <v>23.056880705910711</v>
      </c>
      <c r="O21" s="32">
        <v>7.9726186683322648</v>
      </c>
      <c r="P21" s="33">
        <v>1.8598540694688286</v>
      </c>
      <c r="Q21" s="11">
        <v>7</v>
      </c>
      <c r="R21" s="11" t="s">
        <v>18</v>
      </c>
      <c r="S21" s="11">
        <v>0</v>
      </c>
    </row>
    <row r="22" spans="2:19" x14ac:dyDescent="0.25">
      <c r="B22" s="29">
        <v>19</v>
      </c>
      <c r="C22" s="35" t="s">
        <v>72</v>
      </c>
      <c r="D22" s="31">
        <v>0.5</v>
      </c>
      <c r="E22" s="31">
        <v>0.3</v>
      </c>
      <c r="F22" s="31">
        <v>0.3</v>
      </c>
      <c r="G22" s="31">
        <v>0</v>
      </c>
      <c r="H22" s="31">
        <v>0</v>
      </c>
      <c r="I22" s="31">
        <f t="shared" si="1"/>
        <v>1.1000000000000001</v>
      </c>
      <c r="J22" s="31">
        <v>2</v>
      </c>
      <c r="K22" s="31">
        <v>1.5</v>
      </c>
      <c r="L22" s="31">
        <v>1.5</v>
      </c>
      <c r="M22" s="31">
        <f t="shared" si="5"/>
        <v>0</v>
      </c>
      <c r="N22" s="31">
        <f t="shared" si="6"/>
        <v>0</v>
      </c>
      <c r="O22" s="32">
        <v>0.3</v>
      </c>
      <c r="P22" s="33">
        <v>1.2</v>
      </c>
      <c r="Q22" s="11"/>
      <c r="R22" s="11" t="s">
        <v>29</v>
      </c>
      <c r="S22" s="11">
        <v>0</v>
      </c>
    </row>
    <row r="23" spans="2:19" x14ac:dyDescent="0.25">
      <c r="B23" s="29">
        <v>20</v>
      </c>
      <c r="C23" s="35" t="s">
        <v>32</v>
      </c>
      <c r="D23" s="31">
        <v>4.2155612966156477</v>
      </c>
      <c r="E23" s="31">
        <v>1.1223504142388618</v>
      </c>
      <c r="F23" s="31">
        <v>1.8707618516930631</v>
      </c>
      <c r="G23" s="31">
        <v>2.5846176958111129</v>
      </c>
      <c r="H23" s="31">
        <v>3.4941344842021635</v>
      </c>
      <c r="I23" s="31">
        <f t="shared" si="1"/>
        <v>13.287425742560849</v>
      </c>
      <c r="J23" s="31">
        <f t="shared" si="2"/>
        <v>28.103741977437654</v>
      </c>
      <c r="K23" s="31">
        <f t="shared" si="3"/>
        <v>7.4823360949257456</v>
      </c>
      <c r="L23" s="31">
        <f t="shared" si="4"/>
        <v>12.471745677953754</v>
      </c>
      <c r="M23" s="31">
        <f t="shared" si="5"/>
        <v>17.230784638740754</v>
      </c>
      <c r="N23" s="31">
        <f t="shared" si="6"/>
        <v>23.294229894681092</v>
      </c>
      <c r="O23" s="32">
        <v>14.92618801298892</v>
      </c>
      <c r="P23" s="33">
        <v>0.59106138643355943</v>
      </c>
      <c r="Q23" s="11"/>
      <c r="R23" s="11" t="s">
        <v>15</v>
      </c>
      <c r="S23" s="11">
        <v>0</v>
      </c>
    </row>
    <row r="24" spans="2:19" x14ac:dyDescent="0.25">
      <c r="B24" s="29">
        <v>21</v>
      </c>
      <c r="C24" s="35" t="s">
        <v>70</v>
      </c>
      <c r="D24" s="31">
        <v>0</v>
      </c>
      <c r="E24" s="31">
        <v>0</v>
      </c>
      <c r="F24" s="31">
        <v>0.4</v>
      </c>
      <c r="G24" s="31">
        <v>0.3</v>
      </c>
      <c r="H24" s="31">
        <v>0</v>
      </c>
      <c r="I24" s="31">
        <f t="shared" si="1"/>
        <v>0.7</v>
      </c>
      <c r="J24" s="31">
        <f t="shared" si="2"/>
        <v>0</v>
      </c>
      <c r="K24" s="31">
        <f t="shared" si="3"/>
        <v>0</v>
      </c>
      <c r="L24" s="31">
        <v>0.5</v>
      </c>
      <c r="M24" s="31">
        <v>0.4</v>
      </c>
      <c r="N24" s="31">
        <f t="shared" si="6"/>
        <v>0</v>
      </c>
      <c r="O24" s="32">
        <v>0</v>
      </c>
      <c r="P24" s="33">
        <v>0.4</v>
      </c>
      <c r="Q24" s="11"/>
      <c r="R24" s="11" t="s">
        <v>68</v>
      </c>
      <c r="S24" s="11">
        <v>1</v>
      </c>
    </row>
    <row r="25" spans="2:19" x14ac:dyDescent="0.25">
      <c r="B25" s="29">
        <v>22</v>
      </c>
      <c r="C25" s="35" t="s">
        <v>33</v>
      </c>
      <c r="D25" s="31">
        <v>2.4774364509555529</v>
      </c>
      <c r="E25" s="31">
        <v>1.794483677493643</v>
      </c>
      <c r="F25" s="31">
        <v>0.99499624615324689</v>
      </c>
      <c r="G25" s="31">
        <v>3.5699985874493501</v>
      </c>
      <c r="H25" s="31">
        <v>4.2083174060054764</v>
      </c>
      <c r="I25" s="31">
        <f t="shared" si="1"/>
        <v>13.04523236805727</v>
      </c>
      <c r="J25" s="31">
        <f t="shared" si="2"/>
        <v>16.516243006370352</v>
      </c>
      <c r="K25" s="31">
        <f t="shared" si="3"/>
        <v>11.963224516624287</v>
      </c>
      <c r="L25" s="31">
        <f t="shared" si="4"/>
        <v>6.6333083076883126</v>
      </c>
      <c r="M25" s="31">
        <f t="shared" si="5"/>
        <v>23.799990582995669</v>
      </c>
      <c r="N25" s="31">
        <f t="shared" si="6"/>
        <v>28.055449373369843</v>
      </c>
      <c r="O25" s="32">
        <v>7.0660759625236143</v>
      </c>
      <c r="P25" s="33">
        <v>0.73299047515489646</v>
      </c>
      <c r="Q25" s="11"/>
      <c r="R25" s="11" t="s">
        <v>15</v>
      </c>
      <c r="S25" s="11">
        <v>0</v>
      </c>
    </row>
    <row r="26" spans="2:19" x14ac:dyDescent="0.25">
      <c r="B26" s="29">
        <v>23</v>
      </c>
      <c r="C26" s="35" t="s">
        <v>34</v>
      </c>
      <c r="D26" s="31">
        <v>2.7097909231718686</v>
      </c>
      <c r="E26" s="31">
        <v>0.79075852207199204</v>
      </c>
      <c r="F26" s="31">
        <v>4.6243762530422021</v>
      </c>
      <c r="G26" s="31">
        <v>1.5995463864296227</v>
      </c>
      <c r="H26" s="31">
        <v>2.2457756449282988</v>
      </c>
      <c r="I26" s="31">
        <f t="shared" si="1"/>
        <v>11.970247729643985</v>
      </c>
      <c r="J26" s="31">
        <f t="shared" si="2"/>
        <v>18.065272821145793</v>
      </c>
      <c r="K26" s="31">
        <f t="shared" si="3"/>
        <v>5.2717234804799471</v>
      </c>
      <c r="L26" s="31">
        <f t="shared" si="4"/>
        <v>30.829175020281347</v>
      </c>
      <c r="M26" s="31">
        <f t="shared" si="5"/>
        <v>10.663642576197486</v>
      </c>
      <c r="N26" s="31">
        <f t="shared" si="6"/>
        <v>14.971837632855326</v>
      </c>
      <c r="O26" s="32">
        <v>11.369474560000034</v>
      </c>
      <c r="P26" s="33">
        <v>1.1845647103186456</v>
      </c>
      <c r="Q26" s="11"/>
      <c r="R26" s="11" t="s">
        <v>29</v>
      </c>
      <c r="S26" s="11">
        <v>0</v>
      </c>
    </row>
    <row r="27" spans="2:19" x14ac:dyDescent="0.25">
      <c r="B27" s="29">
        <v>24</v>
      </c>
      <c r="C27" s="35" t="s">
        <v>35</v>
      </c>
      <c r="D27" s="31">
        <v>0.33026436002712656</v>
      </c>
      <c r="E27" s="31">
        <v>1.3643770989368416</v>
      </c>
      <c r="F27" s="31">
        <v>4.3029231002065131</v>
      </c>
      <c r="G27" s="31">
        <v>4.4437707516629947</v>
      </c>
      <c r="H27" s="31">
        <v>3</v>
      </c>
      <c r="I27" s="31">
        <f t="shared" si="1"/>
        <v>13.441335310833477</v>
      </c>
      <c r="J27" s="31">
        <f t="shared" si="2"/>
        <v>2.201762400180844</v>
      </c>
      <c r="K27" s="31">
        <f t="shared" si="3"/>
        <v>9.095847326245611</v>
      </c>
      <c r="L27" s="31">
        <f t="shared" si="4"/>
        <v>28.686154001376757</v>
      </c>
      <c r="M27" s="31">
        <f t="shared" si="5"/>
        <v>29.625138344419966</v>
      </c>
      <c r="N27" s="31">
        <f t="shared" si="6"/>
        <v>20</v>
      </c>
      <c r="O27" s="32">
        <v>12.074757934133125</v>
      </c>
      <c r="P27" s="33">
        <v>0.55638922984037409</v>
      </c>
      <c r="Q27" s="11"/>
      <c r="R27" s="11" t="s">
        <v>29</v>
      </c>
      <c r="S27" s="11">
        <v>1</v>
      </c>
    </row>
    <row r="28" spans="2:19" x14ac:dyDescent="0.25">
      <c r="B28" s="29">
        <v>25</v>
      </c>
      <c r="C28" s="35" t="s">
        <v>36</v>
      </c>
      <c r="D28" s="31">
        <v>1.7819391882694151</v>
      </c>
      <c r="E28" s="31">
        <v>1.7187870538390793</v>
      </c>
      <c r="F28" s="31">
        <v>2.0530931187838437</v>
      </c>
      <c r="G28" s="31">
        <v>2.5319268460241013</v>
      </c>
      <c r="H28" s="31">
        <v>3</v>
      </c>
      <c r="I28" s="31">
        <f t="shared" si="1"/>
        <v>11.08574620691644</v>
      </c>
      <c r="J28" s="31">
        <f t="shared" si="2"/>
        <v>11.879594588462767</v>
      </c>
      <c r="K28" s="31">
        <f t="shared" si="3"/>
        <v>11.458580358927195</v>
      </c>
      <c r="L28" s="31">
        <f t="shared" si="4"/>
        <v>13.687287458558959</v>
      </c>
      <c r="M28" s="31">
        <f t="shared" si="5"/>
        <v>16.879512306827344</v>
      </c>
      <c r="N28" s="31">
        <f t="shared" si="6"/>
        <v>20</v>
      </c>
      <c r="O28" s="32">
        <v>18.805449913674558</v>
      </c>
      <c r="P28" s="33">
        <v>0.34320915037012345</v>
      </c>
      <c r="Q28" s="11">
        <v>15</v>
      </c>
      <c r="R28" s="11" t="s">
        <v>15</v>
      </c>
      <c r="S28" s="11">
        <v>0</v>
      </c>
    </row>
    <row r="29" spans="2:19" x14ac:dyDescent="0.25">
      <c r="B29" s="29">
        <v>26</v>
      </c>
      <c r="C29" s="30" t="s">
        <v>37</v>
      </c>
      <c r="D29" s="31">
        <v>2.3734942306941145</v>
      </c>
      <c r="E29" s="31">
        <v>2.7508425207057434</v>
      </c>
      <c r="F29" s="31">
        <v>2.863367863754251</v>
      </c>
      <c r="G29" s="31">
        <v>2.5863555122627608</v>
      </c>
      <c r="H29" s="31">
        <v>0.35524243926149057</v>
      </c>
      <c r="I29" s="31">
        <f t="shared" si="1"/>
        <v>10.929302566678359</v>
      </c>
      <c r="J29" s="31">
        <f t="shared" si="2"/>
        <v>15.823294871294097</v>
      </c>
      <c r="K29" s="31">
        <f t="shared" si="3"/>
        <v>18.338950138038289</v>
      </c>
      <c r="L29" s="31">
        <f t="shared" si="4"/>
        <v>19.089119091695007</v>
      </c>
      <c r="M29" s="31">
        <f t="shared" si="5"/>
        <v>17.242370081751741</v>
      </c>
      <c r="N29" s="31">
        <f t="shared" si="6"/>
        <v>2.3682829284099371</v>
      </c>
      <c r="O29" s="32">
        <v>1.9485834112964131</v>
      </c>
      <c r="P29" s="33">
        <v>1.6778677953298189</v>
      </c>
      <c r="Q29" s="11"/>
      <c r="R29" s="11" t="s">
        <v>67</v>
      </c>
      <c r="S29" s="11">
        <v>0</v>
      </c>
    </row>
    <row r="30" spans="2:19" x14ac:dyDescent="0.25">
      <c r="B30" s="29">
        <v>27</v>
      </c>
      <c r="C30" s="30" t="s">
        <v>38</v>
      </c>
      <c r="D30" s="31">
        <v>1.1238232642233807</v>
      </c>
      <c r="E30" s="31">
        <v>1.5</v>
      </c>
      <c r="F30" s="31">
        <v>2.8</v>
      </c>
      <c r="G30" s="31">
        <v>2.1666798035451529</v>
      </c>
      <c r="H30" s="31">
        <v>1.3</v>
      </c>
      <c r="I30" s="31">
        <f t="shared" si="1"/>
        <v>8.8905030677685346</v>
      </c>
      <c r="J30" s="31">
        <f t="shared" si="2"/>
        <v>7.4921550948225386</v>
      </c>
      <c r="K30" s="31">
        <v>7</v>
      </c>
      <c r="L30" s="31">
        <v>12</v>
      </c>
      <c r="M30" s="31">
        <v>11</v>
      </c>
      <c r="N30" s="31">
        <v>6.2</v>
      </c>
      <c r="O30" s="32">
        <v>11.184669126265257</v>
      </c>
      <c r="P30" s="33">
        <v>0.5</v>
      </c>
      <c r="Q30" s="11">
        <v>21</v>
      </c>
      <c r="R30" s="11" t="s">
        <v>67</v>
      </c>
      <c r="S30" s="11">
        <v>0</v>
      </c>
    </row>
    <row r="31" spans="2:19" x14ac:dyDescent="0.25">
      <c r="B31" s="29">
        <v>28</v>
      </c>
      <c r="C31" s="30" t="s">
        <v>39</v>
      </c>
      <c r="D31" s="31">
        <v>1.6544948389176146</v>
      </c>
      <c r="E31" s="31">
        <v>0.8226051115420413</v>
      </c>
      <c r="F31" s="31">
        <v>0.48796301037426881</v>
      </c>
      <c r="G31" s="31">
        <v>4.0043063966598451</v>
      </c>
      <c r="H31" s="31">
        <v>3.4388179189655537</v>
      </c>
      <c r="I31" s="31">
        <f t="shared" si="1"/>
        <v>10.408187276459323</v>
      </c>
      <c r="J31" s="31">
        <f t="shared" si="2"/>
        <v>11.029965592784098</v>
      </c>
      <c r="K31" s="31">
        <f t="shared" si="3"/>
        <v>5.4840340769469424</v>
      </c>
      <c r="L31" s="31">
        <f t="shared" si="4"/>
        <v>3.2530867358284588</v>
      </c>
      <c r="M31" s="31">
        <f t="shared" si="5"/>
        <v>26.695375977732301</v>
      </c>
      <c r="N31" s="31">
        <f t="shared" si="6"/>
        <v>22.925452793103691</v>
      </c>
      <c r="O31" s="32">
        <v>7.4117495163352505</v>
      </c>
      <c r="P31" s="33">
        <v>4.4478581026827815</v>
      </c>
      <c r="Q31" s="11"/>
      <c r="R31" s="11" t="s">
        <v>15</v>
      </c>
      <c r="S31" s="11">
        <v>0</v>
      </c>
    </row>
    <row r="32" spans="2:19" x14ac:dyDescent="0.25">
      <c r="B32" s="29">
        <v>29</v>
      </c>
      <c r="C32" s="30" t="s">
        <v>40</v>
      </c>
      <c r="D32" s="31">
        <v>1.8501652778788624</v>
      </c>
      <c r="E32" s="31">
        <v>2.8675084925545526</v>
      </c>
      <c r="F32" s="31">
        <v>2.6362789801408577</v>
      </c>
      <c r="G32" s="31">
        <v>4.3272634298599373</v>
      </c>
      <c r="H32" s="31">
        <v>0.42410543673995216</v>
      </c>
      <c r="I32" s="31">
        <f t="shared" si="1"/>
        <v>12.105321617174161</v>
      </c>
      <c r="J32" s="31">
        <f t="shared" si="2"/>
        <v>12.334435185859084</v>
      </c>
      <c r="K32" s="31">
        <f t="shared" si="3"/>
        <v>19.11672328369702</v>
      </c>
      <c r="L32" s="31">
        <f t="shared" si="4"/>
        <v>17.575193200939051</v>
      </c>
      <c r="M32" s="31">
        <f t="shared" si="5"/>
        <v>28.848422865732918</v>
      </c>
      <c r="N32" s="31">
        <f t="shared" si="6"/>
        <v>2.8273695782663477</v>
      </c>
      <c r="O32" s="32">
        <v>3.400211062192489</v>
      </c>
      <c r="P32" s="33">
        <v>0.68195217495726268</v>
      </c>
      <c r="Q32" s="11"/>
      <c r="R32" s="11" t="s">
        <v>15</v>
      </c>
      <c r="S32" s="11">
        <v>0</v>
      </c>
    </row>
    <row r="33" spans="2:19" x14ac:dyDescent="0.25">
      <c r="B33" s="29">
        <v>30</v>
      </c>
      <c r="C33" s="30" t="s">
        <v>41</v>
      </c>
      <c r="D33" s="31">
        <v>2.433600001865619</v>
      </c>
      <c r="E33" s="31">
        <v>1.1389159588924085</v>
      </c>
      <c r="F33" s="31">
        <v>3.5996298445680317</v>
      </c>
      <c r="G33" s="31">
        <v>4.9234386914606585</v>
      </c>
      <c r="H33" s="31">
        <v>1.2612590213784598</v>
      </c>
      <c r="I33" s="31">
        <f t="shared" si="1"/>
        <v>13.356843518165178</v>
      </c>
      <c r="J33" s="31">
        <f t="shared" si="2"/>
        <v>16.224000012437461</v>
      </c>
      <c r="K33" s="31">
        <f t="shared" si="3"/>
        <v>7.5927730592827238</v>
      </c>
      <c r="L33" s="31">
        <f t="shared" si="4"/>
        <v>23.997532297120213</v>
      </c>
      <c r="M33" s="31">
        <f t="shared" si="5"/>
        <v>32.822924609737726</v>
      </c>
      <c r="N33" s="31">
        <f t="shared" si="6"/>
        <v>8.4083934758563998</v>
      </c>
      <c r="O33" s="32">
        <v>13.550053215023327</v>
      </c>
      <c r="P33" s="33">
        <v>1.6439415396649202</v>
      </c>
      <c r="Q33" s="11"/>
      <c r="R33" s="11" t="s">
        <v>18</v>
      </c>
      <c r="S33" s="11">
        <v>0</v>
      </c>
    </row>
    <row r="34" spans="2:19" x14ac:dyDescent="0.25">
      <c r="B34" s="12"/>
      <c r="C34" s="10" t="s">
        <v>42</v>
      </c>
      <c r="D34" s="36">
        <f>SUM(D4:D33)</f>
        <v>64.420889155185165</v>
      </c>
      <c r="E34" s="36">
        <f t="shared" ref="E34:P34" si="7">SUM(E4:E33)</f>
        <v>62.559838099114515</v>
      </c>
      <c r="F34" s="36">
        <f t="shared" si="7"/>
        <v>58.53995531176092</v>
      </c>
      <c r="G34" s="36">
        <f t="shared" si="7"/>
        <v>61.358241111444457</v>
      </c>
      <c r="H34" s="36">
        <f t="shared" ref="H34" si="8">SUM(H4:H33)</f>
        <v>50.304480868923235</v>
      </c>
      <c r="I34" s="36">
        <f t="shared" si="7"/>
        <v>297.18340454642828</v>
      </c>
      <c r="J34" s="36">
        <f t="shared" si="7"/>
        <v>424.0059277012345</v>
      </c>
      <c r="K34" s="36">
        <f t="shared" si="7"/>
        <v>409.96558732743011</v>
      </c>
      <c r="L34" s="36">
        <f t="shared" si="7"/>
        <v>380.59970207840615</v>
      </c>
      <c r="M34" s="36">
        <f t="shared" si="7"/>
        <v>404.01040871932867</v>
      </c>
      <c r="N34" s="36">
        <f t="shared" si="7"/>
        <v>332.89653912615495</v>
      </c>
      <c r="O34" s="37">
        <f t="shared" si="7"/>
        <v>308.14959712042076</v>
      </c>
      <c r="P34" s="38">
        <f t="shared" si="7"/>
        <v>36.339395904480952</v>
      </c>
      <c r="Q34" s="12"/>
      <c r="R34" s="11"/>
      <c r="S34" s="12"/>
    </row>
    <row r="35" spans="2:19" x14ac:dyDescent="0.25">
      <c r="E35" s="1" t="s">
        <v>0</v>
      </c>
    </row>
    <row r="36" spans="2:19" x14ac:dyDescent="0.25">
      <c r="E36" s="1" t="s">
        <v>0</v>
      </c>
    </row>
    <row r="37" spans="2:19" x14ac:dyDescent="0.25">
      <c r="D37" s="1"/>
      <c r="E37" s="1" t="s">
        <v>0</v>
      </c>
    </row>
  </sheetData>
  <mergeCells count="2">
    <mergeCell ref="D2:I2"/>
    <mergeCell ref="J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7102-D606-43D5-8E2D-4EACD3EC0E2E}">
  <sheetPr>
    <tabColor theme="5"/>
  </sheetPr>
  <dimension ref="B2:I15"/>
  <sheetViews>
    <sheetView showGridLines="0" tabSelected="1" workbookViewId="0">
      <selection activeCell="C9" sqref="C9"/>
    </sheetView>
  </sheetViews>
  <sheetFormatPr defaultColWidth="8.85546875" defaultRowHeight="15" x14ac:dyDescent="0.25"/>
  <cols>
    <col min="1" max="1" width="3" style="1" customWidth="1"/>
    <col min="2" max="2" width="29.42578125" style="1" bestFit="1" customWidth="1"/>
    <col min="3" max="3" width="4.85546875" style="1" bestFit="1" customWidth="1"/>
    <col min="4" max="8" width="6.28515625" style="1" bestFit="1" customWidth="1"/>
    <col min="9" max="9" width="2.7109375" style="1" customWidth="1"/>
    <col min="10" max="16384" width="8.85546875" style="1"/>
  </cols>
  <sheetData>
    <row r="2" spans="2:9" ht="21" x14ac:dyDescent="0.25">
      <c r="B2" s="5" t="s">
        <v>43</v>
      </c>
      <c r="C2" s="5"/>
    </row>
    <row r="3" spans="2:9" x14ac:dyDescent="0.25">
      <c r="B3" s="41" t="s">
        <v>0</v>
      </c>
      <c r="C3" s="39"/>
      <c r="D3" s="39"/>
      <c r="E3" s="39"/>
      <c r="F3" s="39"/>
      <c r="G3" s="39"/>
      <c r="H3" s="39"/>
      <c r="I3" s="39"/>
    </row>
    <row r="4" spans="2:9" x14ac:dyDescent="0.25">
      <c r="B4" s="52" t="s">
        <v>44</v>
      </c>
      <c r="C4" s="46"/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39"/>
    </row>
    <row r="5" spans="2:9" x14ac:dyDescent="0.25">
      <c r="B5" s="40" t="s">
        <v>45</v>
      </c>
      <c r="C5" s="42"/>
      <c r="D5" s="33">
        <v>28</v>
      </c>
      <c r="E5" s="33">
        <v>28</v>
      </c>
      <c r="F5" s="33">
        <v>29</v>
      </c>
      <c r="G5" s="33">
        <v>29</v>
      </c>
      <c r="H5" s="33">
        <v>30</v>
      </c>
      <c r="I5" s="39"/>
    </row>
    <row r="6" spans="2:9" x14ac:dyDescent="0.25">
      <c r="B6" s="40" t="s">
        <v>74</v>
      </c>
      <c r="C6" s="42"/>
      <c r="D6" s="34">
        <v>200</v>
      </c>
      <c r="E6" s="34">
        <v>200</v>
      </c>
      <c r="F6" s="34">
        <v>200</v>
      </c>
      <c r="G6" s="34">
        <v>200</v>
      </c>
      <c r="H6" s="34">
        <v>200</v>
      </c>
      <c r="I6" s="39"/>
    </row>
    <row r="7" spans="2:9" x14ac:dyDescent="0.25">
      <c r="B7" s="40" t="s">
        <v>76</v>
      </c>
      <c r="C7" s="42"/>
      <c r="D7" s="33">
        <v>23</v>
      </c>
      <c r="E7" s="33">
        <v>23</v>
      </c>
      <c r="F7" s="33">
        <v>24</v>
      </c>
      <c r="G7" s="33">
        <v>24</v>
      </c>
      <c r="H7" s="33">
        <v>24</v>
      </c>
      <c r="I7" s="39"/>
    </row>
    <row r="8" spans="2:9" x14ac:dyDescent="0.25">
      <c r="B8" s="40" t="s">
        <v>75</v>
      </c>
      <c r="C8" s="43"/>
      <c r="D8" s="44">
        <v>160</v>
      </c>
      <c r="E8" s="44">
        <v>160</v>
      </c>
      <c r="F8" s="44">
        <v>160</v>
      </c>
      <c r="G8" s="44">
        <v>160</v>
      </c>
      <c r="H8" s="44">
        <v>160</v>
      </c>
      <c r="I8" s="39"/>
    </row>
    <row r="9" spans="2:9" x14ac:dyDescent="0.25">
      <c r="B9" s="40" t="s">
        <v>84</v>
      </c>
      <c r="C9" s="51">
        <v>0.15</v>
      </c>
      <c r="D9" s="34"/>
      <c r="E9" s="34"/>
      <c r="F9" s="34"/>
      <c r="G9" s="34"/>
      <c r="H9" s="34"/>
      <c r="I9" s="39"/>
    </row>
    <row r="10" spans="2:9" ht="7.5" customHeight="1" x14ac:dyDescent="0.25">
      <c r="B10" s="50"/>
      <c r="C10" s="45"/>
      <c r="D10" s="49"/>
      <c r="E10" s="39"/>
      <c r="F10" s="39"/>
      <c r="G10" s="39"/>
      <c r="H10" s="39"/>
      <c r="I10" s="39"/>
    </row>
    <row r="11" spans="2:9" x14ac:dyDescent="0.25">
      <c r="B11" s="46" t="s">
        <v>81</v>
      </c>
      <c r="C11" s="23" t="s">
        <v>82</v>
      </c>
      <c r="D11" s="23" t="s">
        <v>83</v>
      </c>
      <c r="E11" s="39"/>
      <c r="F11" s="39"/>
      <c r="G11" s="39"/>
      <c r="H11" s="39"/>
      <c r="I11" s="39"/>
    </row>
    <row r="12" spans="2:9" x14ac:dyDescent="0.25">
      <c r="B12" s="47" t="s">
        <v>77</v>
      </c>
      <c r="C12" s="48">
        <v>0.15</v>
      </c>
      <c r="D12" s="48">
        <v>0.1</v>
      </c>
      <c r="E12" s="39"/>
      <c r="F12" s="39"/>
      <c r="G12" s="39"/>
      <c r="H12" s="39"/>
      <c r="I12" s="39"/>
    </row>
    <row r="13" spans="2:9" x14ac:dyDescent="0.25">
      <c r="B13" s="47" t="s">
        <v>18</v>
      </c>
      <c r="C13" s="48">
        <v>0.3</v>
      </c>
      <c r="D13" s="48">
        <v>0.2</v>
      </c>
      <c r="E13" s="39"/>
      <c r="F13" s="39"/>
      <c r="G13" s="39"/>
      <c r="H13" s="39"/>
      <c r="I13" s="39"/>
    </row>
    <row r="14" spans="2:9" x14ac:dyDescent="0.25">
      <c r="B14" s="4" t="s">
        <v>0</v>
      </c>
      <c r="C14" s="4"/>
      <c r="D14" s="9" t="s">
        <v>0</v>
      </c>
    </row>
    <row r="15" spans="2:9" x14ac:dyDescent="0.25">
      <c r="B15" s="4" t="s">
        <v>0</v>
      </c>
      <c r="C15" s="4"/>
      <c r="D15" s="9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B953-6FD5-4222-B92F-3B9888672894}">
  <dimension ref="A1"/>
  <sheetViews>
    <sheetView workbookViewId="0">
      <selection activeCell="B10" sqref="B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context</vt:lpstr>
      <vt:lpstr>R&amp;D Program Dataset</vt:lpstr>
      <vt:lpstr>Constraints &amp; Goals</vt:lpstr>
      <vt:lpstr>Prompt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Albea</dc:creator>
  <cp:keywords/>
  <dc:description/>
  <cp:lastModifiedBy>Rafael Albea</cp:lastModifiedBy>
  <cp:revision/>
  <dcterms:created xsi:type="dcterms:W3CDTF">2025-09-02T12:06:40Z</dcterms:created>
  <dcterms:modified xsi:type="dcterms:W3CDTF">2026-04-05T16:43:51Z</dcterms:modified>
  <cp:category/>
  <cp:contentStatus/>
</cp:coreProperties>
</file>